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ownloads\"/>
    </mc:Choice>
  </mc:AlternateContent>
  <xr:revisionPtr revIDLastSave="0" documentId="13_ncr:1_{2B5AA64A-E435-4F6C-8329-428F5BD836F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</definedName>
    <definedName name="_xlnm._FilterDatabase" localSheetId="1" hidden="1">Sheet2!$A$1:$D$1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</calcChain>
</file>

<file path=xl/sharedStrings.xml><?xml version="1.0" encoding="utf-8"?>
<sst xmlns="http://schemas.openxmlformats.org/spreadsheetml/2006/main" count="170" uniqueCount="116">
  <si>
    <t>Factor Category</t>
  </si>
  <si>
    <t>Factor</t>
  </si>
  <si>
    <t>Effect on Diabetes Risk</t>
  </si>
  <si>
    <t>Mom's Status</t>
  </si>
  <si>
    <t>Biological</t>
  </si>
  <si>
    <t>Lifestyle</t>
  </si>
  <si>
    <t>Environmental &amp; Medical</t>
  </si>
  <si>
    <t>Psychological &amp; Behavioral</t>
  </si>
  <si>
    <t>Age</t>
  </si>
  <si>
    <t>Genetics / Family History</t>
  </si>
  <si>
    <t>Ethnicity</t>
  </si>
  <si>
    <t>Sex</t>
  </si>
  <si>
    <t>Birth Weight</t>
  </si>
  <si>
    <t>History of Prediabetes</t>
  </si>
  <si>
    <t>Vitamin D Deficiency</t>
  </si>
  <si>
    <t>Diet</t>
  </si>
  <si>
    <t>Physical Activity</t>
  </si>
  <si>
    <t>Obesity &amp; Body Fat Distribution</t>
  </si>
  <si>
    <t>Alcohol Consumption</t>
  </si>
  <si>
    <t>Smoking</t>
  </si>
  <si>
    <t>Sleep Patterns</t>
  </si>
  <si>
    <t>Meal Timing</t>
  </si>
  <si>
    <t>Glycemic Index of Foods</t>
  </si>
  <si>
    <t>Processed Foods</t>
  </si>
  <si>
    <t>Weight Loss</t>
  </si>
  <si>
    <t>Chronic Stress</t>
  </si>
  <si>
    <t>Medications</t>
  </si>
  <si>
    <t>Gut Microbiome</t>
  </si>
  <si>
    <t>Thyroid Disorders</t>
  </si>
  <si>
    <t>Polycystic Ovary Syndrome (PCOS)</t>
  </si>
  <si>
    <t>Inflammation &amp; Autoimmune Diseases</t>
  </si>
  <si>
    <t>Exposure to Toxins</t>
  </si>
  <si>
    <t>Steroid Use</t>
  </si>
  <si>
    <t>Beta-blockers</t>
  </si>
  <si>
    <t>Air Pollution</t>
  </si>
  <si>
    <t>Hormonal Imbalances</t>
  </si>
  <si>
    <t>Emotional Eating</t>
  </si>
  <si>
    <t>Cognitive Load (Mental Fatigue)</t>
  </si>
  <si>
    <t>Motivation &amp; Self-Discipline</t>
  </si>
  <si>
    <t>Social Support &amp; Community</t>
  </si>
  <si>
    <t>Increases with age (especially over 45)</t>
  </si>
  <si>
    <t>Higher risk if parent/sibling has diabetes</t>
  </si>
  <si>
    <t>Higher risk for African Americans, Hispanics, Asians</t>
  </si>
  <si>
    <t>Women with PCOS or gestational diabetes at higher risk</t>
  </si>
  <si>
    <t>Low or high birth weight increases risk</t>
  </si>
  <si>
    <t>Prediabetes (5.7 - 6.4 blood sugar) increases risk</t>
  </si>
  <si>
    <t>Deficiency increases insulin resistance</t>
  </si>
  <si>
    <t>High sugar &amp; processed foods increase risk, fiber lowers risk</t>
  </si>
  <si>
    <t>Regular exercise lowers risk</t>
  </si>
  <si>
    <t>Higher BMI and belly fat increase risk</t>
  </si>
  <si>
    <t>Heavy drinking increases risk, moderate may lower risk</t>
  </si>
  <si>
    <t>Smoking increases insulin resistance</t>
  </si>
  <si>
    <t>Less than 6 hours of sleep increases risk</t>
  </si>
  <si>
    <t>Eating late at night can disrupt insulin response</t>
  </si>
  <si>
    <t>High glycemic foods cause blood sugar spikes</t>
  </si>
  <si>
    <t>More processed foods increase insulin resistance</t>
  </si>
  <si>
    <t>Losing 5-10% of body weight lowers risk</t>
  </si>
  <si>
    <t>Raises cortisol levels, which increases blood sugar</t>
  </si>
  <si>
    <t>Certain meds (steroids, antipsychotics) increase risk</t>
  </si>
  <si>
    <t>Poor gut health linked to insulin resistance</t>
  </si>
  <si>
    <t>Hypothyroidism increases risk</t>
  </si>
  <si>
    <t>PCOS in women increases risk</t>
  </si>
  <si>
    <t>Chronic inflammation linked to insulin resistance</t>
  </si>
  <si>
    <t>Exposure to BPA, pesticides, pollution may increase risk</t>
  </si>
  <si>
    <t>Long-term steroid use increases risk</t>
  </si>
  <si>
    <t>May affect metabolism</t>
  </si>
  <si>
    <t>Air pollution linked to insulin resistance</t>
  </si>
  <si>
    <t>Hormonal changes affect insulin response</t>
  </si>
  <si>
    <t>Stress or depression may lead to overeating</t>
  </si>
  <si>
    <t>Mental fatigue may lead to poor choices</t>
  </si>
  <si>
    <t>Discipline affects long-term lifestyle habits</t>
  </si>
  <si>
    <t>Strong social networks improve health outcomes</t>
  </si>
  <si>
    <t>Not at high risk (assuming under 45)</t>
  </si>
  <si>
    <t>Not specified</t>
  </si>
  <si>
    <t>Blood sugar at 5.9/100 (Prediabetes range)</t>
  </si>
  <si>
    <t>Lives in Ohio (possible low levels in winter)</t>
  </si>
  <si>
    <t>Healthy diet</t>
  </si>
  <si>
    <t>Exercises regularly</t>
  </si>
  <si>
    <t>Not overweight (assumed)</t>
  </si>
  <si>
    <t>Not a heavy drinker</t>
  </si>
  <si>
    <t>Non-smoker</t>
  </si>
  <si>
    <t>Avoids processed foods</t>
  </si>
  <si>
    <t>Maintains healthy weight</t>
  </si>
  <si>
    <t>Has stress (higher risk factor)</t>
  </si>
  <si>
    <t>Not on risky medications</t>
  </si>
  <si>
    <t>Not exposed to toxins regularly</t>
  </si>
  <si>
    <t>Not using steroids</t>
  </si>
  <si>
    <t>Not using beta-blockers</t>
  </si>
  <si>
    <t>Minimal exposure (Ohio air quality)</t>
  </si>
  <si>
    <t>May experience stress-related eating</t>
  </si>
  <si>
    <t>Mental fatigue can affect habits</t>
  </si>
  <si>
    <t>Self-discipline is good</t>
  </si>
  <si>
    <t>Has strong family support</t>
  </si>
  <si>
    <t>Estimated Risk Increase (%)</t>
  </si>
  <si>
    <t>Impact on Mom's Risk (%)</t>
  </si>
  <si>
    <t>Age &gt; 45</t>
  </si>
  <si>
    <t>Not at high risk (assuming &lt;45)</t>
  </si>
  <si>
    <t>Family History</t>
  </si>
  <si>
    <t>Blood Sugar 5.9/100</t>
  </si>
  <si>
    <t>Blood sugar at 5.9/100 (Prediabetes)</t>
  </si>
  <si>
    <t>BMI &gt; 25</t>
  </si>
  <si>
    <t>Healthy weight</t>
  </si>
  <si>
    <t>Sedentary Lifestyle</t>
  </si>
  <si>
    <t>Active lifestyle</t>
  </si>
  <si>
    <t>Healthy Diet</t>
  </si>
  <si>
    <t>Exercise Regularly</t>
  </si>
  <si>
    <t>Has stress</t>
  </si>
  <si>
    <t>Vitamin D Deficiency (Winter)</t>
  </si>
  <si>
    <t>Possible deficiency in winter</t>
  </si>
  <si>
    <t>Heavy Alcohol Use</t>
  </si>
  <si>
    <t>Poor Sleep (&lt;6 hrs)</t>
  </si>
  <si>
    <t>PCOS (for women)</t>
  </si>
  <si>
    <t>High Sugar Diet</t>
  </si>
  <si>
    <t>Low sugar intake</t>
  </si>
  <si>
    <t>Weight Loss (5-10%)</t>
  </si>
  <si>
    <t>Medications (Steroids, Beta-blockers)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</si>
</sst>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4DB9618-ACA9-4170-AB14-A26B050748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D32" sqref="D32"/>
    </sheetView>
  </sheetViews>
  <sheetFormatPr defaultRowHeight="15" x14ac:dyDescent="0.25"/>
  <cols>
    <col min="1" max="1" width="25" bestFit="1" customWidth="1"/>
    <col min="2" max="2" width="36" bestFit="1" customWidth="1"/>
    <col min="3" max="3" width="55.140625" bestFit="1" customWidth="1"/>
    <col min="4" max="4" width="4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</v>
      </c>
      <c r="C2" t="s">
        <v>40</v>
      </c>
      <c r="D2" t="s">
        <v>72</v>
      </c>
    </row>
    <row r="3" spans="1:4" x14ac:dyDescent="0.25">
      <c r="A3" t="s">
        <v>4</v>
      </c>
      <c r="B3" t="s">
        <v>9</v>
      </c>
      <c r="C3" t="s">
        <v>41</v>
      </c>
      <c r="D3" t="s">
        <v>73</v>
      </c>
    </row>
    <row r="4" spans="1:4" x14ac:dyDescent="0.25">
      <c r="A4" t="s">
        <v>4</v>
      </c>
      <c r="B4" t="s">
        <v>10</v>
      </c>
      <c r="C4" t="s">
        <v>42</v>
      </c>
      <c r="D4" t="s">
        <v>73</v>
      </c>
    </row>
    <row r="5" spans="1:4" x14ac:dyDescent="0.25">
      <c r="A5" t="s">
        <v>4</v>
      </c>
      <c r="B5" t="s">
        <v>11</v>
      </c>
      <c r="C5" t="s">
        <v>43</v>
      </c>
      <c r="D5" t="s">
        <v>73</v>
      </c>
    </row>
    <row r="6" spans="1:4" x14ac:dyDescent="0.25">
      <c r="A6" t="s">
        <v>4</v>
      </c>
      <c r="B6" t="s">
        <v>12</v>
      </c>
      <c r="C6" t="s">
        <v>44</v>
      </c>
      <c r="D6" t="s">
        <v>73</v>
      </c>
    </row>
    <row r="7" spans="1:4" x14ac:dyDescent="0.25">
      <c r="A7" t="s">
        <v>4</v>
      </c>
      <c r="B7" t="s">
        <v>13</v>
      </c>
      <c r="C7" t="s">
        <v>45</v>
      </c>
      <c r="D7" t="s">
        <v>74</v>
      </c>
    </row>
    <row r="8" spans="1:4" x14ac:dyDescent="0.25">
      <c r="A8" t="s">
        <v>4</v>
      </c>
      <c r="B8" t="s">
        <v>14</v>
      </c>
      <c r="C8" t="s">
        <v>46</v>
      </c>
      <c r="D8" t="s">
        <v>75</v>
      </c>
    </row>
    <row r="9" spans="1:4" x14ac:dyDescent="0.25">
      <c r="A9" t="s">
        <v>5</v>
      </c>
      <c r="B9" t="s">
        <v>15</v>
      </c>
      <c r="C9" t="s">
        <v>47</v>
      </c>
      <c r="D9" t="s">
        <v>76</v>
      </c>
    </row>
    <row r="10" spans="1:4" x14ac:dyDescent="0.25">
      <c r="A10" t="s">
        <v>5</v>
      </c>
      <c r="B10" t="s">
        <v>16</v>
      </c>
      <c r="C10" t="s">
        <v>48</v>
      </c>
      <c r="D10" t="s">
        <v>77</v>
      </c>
    </row>
    <row r="11" spans="1:4" x14ac:dyDescent="0.25">
      <c r="A11" t="s">
        <v>5</v>
      </c>
      <c r="B11" t="s">
        <v>17</v>
      </c>
      <c r="C11" t="s">
        <v>49</v>
      </c>
      <c r="D11" t="s">
        <v>78</v>
      </c>
    </row>
    <row r="12" spans="1:4" x14ac:dyDescent="0.25">
      <c r="A12" t="s">
        <v>5</v>
      </c>
      <c r="B12" t="s">
        <v>18</v>
      </c>
      <c r="C12" t="s">
        <v>50</v>
      </c>
      <c r="D12" t="s">
        <v>79</v>
      </c>
    </row>
    <row r="13" spans="1:4" x14ac:dyDescent="0.25">
      <c r="A13" t="s">
        <v>5</v>
      </c>
      <c r="B13" t="s">
        <v>19</v>
      </c>
      <c r="C13" t="s">
        <v>51</v>
      </c>
      <c r="D13" t="s">
        <v>80</v>
      </c>
    </row>
    <row r="14" spans="1:4" x14ac:dyDescent="0.25">
      <c r="A14" t="s">
        <v>5</v>
      </c>
      <c r="B14" t="s">
        <v>20</v>
      </c>
      <c r="C14" t="s">
        <v>52</v>
      </c>
      <c r="D14" t="s">
        <v>73</v>
      </c>
    </row>
    <row r="15" spans="1:4" x14ac:dyDescent="0.25">
      <c r="A15" t="s">
        <v>5</v>
      </c>
      <c r="B15" t="s">
        <v>21</v>
      </c>
      <c r="C15" t="s">
        <v>53</v>
      </c>
      <c r="D15" t="s">
        <v>73</v>
      </c>
    </row>
    <row r="16" spans="1:4" x14ac:dyDescent="0.25">
      <c r="A16" t="s">
        <v>5</v>
      </c>
      <c r="B16" t="s">
        <v>22</v>
      </c>
      <c r="C16" t="s">
        <v>54</v>
      </c>
      <c r="D16" t="s">
        <v>73</v>
      </c>
    </row>
    <row r="17" spans="1:4" x14ac:dyDescent="0.25">
      <c r="A17" t="s">
        <v>5</v>
      </c>
      <c r="B17" t="s">
        <v>23</v>
      </c>
      <c r="C17" t="s">
        <v>55</v>
      </c>
      <c r="D17" t="s">
        <v>81</v>
      </c>
    </row>
    <row r="18" spans="1:4" x14ac:dyDescent="0.25">
      <c r="A18" t="s">
        <v>5</v>
      </c>
      <c r="B18" t="s">
        <v>24</v>
      </c>
      <c r="C18" t="s">
        <v>56</v>
      </c>
      <c r="D18" t="s">
        <v>82</v>
      </c>
    </row>
    <row r="19" spans="1:4" x14ac:dyDescent="0.25">
      <c r="A19" t="s">
        <v>6</v>
      </c>
      <c r="B19" t="s">
        <v>25</v>
      </c>
      <c r="C19" t="s">
        <v>57</v>
      </c>
      <c r="D19" t="s">
        <v>83</v>
      </c>
    </row>
    <row r="20" spans="1:4" x14ac:dyDescent="0.25">
      <c r="A20" t="s">
        <v>6</v>
      </c>
      <c r="B20" t="s">
        <v>26</v>
      </c>
      <c r="C20" t="s">
        <v>58</v>
      </c>
      <c r="D20" t="s">
        <v>84</v>
      </c>
    </row>
    <row r="21" spans="1:4" x14ac:dyDescent="0.25">
      <c r="A21" t="s">
        <v>6</v>
      </c>
      <c r="B21" t="s">
        <v>27</v>
      </c>
      <c r="C21" t="s">
        <v>59</v>
      </c>
      <c r="D21" t="s">
        <v>73</v>
      </c>
    </row>
    <row r="22" spans="1:4" x14ac:dyDescent="0.25">
      <c r="A22" t="s">
        <v>6</v>
      </c>
      <c r="B22" t="s">
        <v>28</v>
      </c>
      <c r="C22" t="s">
        <v>60</v>
      </c>
      <c r="D22" t="s">
        <v>73</v>
      </c>
    </row>
    <row r="23" spans="1:4" x14ac:dyDescent="0.25">
      <c r="A23" t="s">
        <v>6</v>
      </c>
      <c r="B23" t="s">
        <v>29</v>
      </c>
      <c r="C23" t="s">
        <v>61</v>
      </c>
      <c r="D23" t="s">
        <v>73</v>
      </c>
    </row>
    <row r="24" spans="1:4" x14ac:dyDescent="0.25">
      <c r="A24" t="s">
        <v>6</v>
      </c>
      <c r="B24" t="s">
        <v>30</v>
      </c>
      <c r="C24" t="s">
        <v>62</v>
      </c>
      <c r="D24" t="s">
        <v>73</v>
      </c>
    </row>
    <row r="25" spans="1:4" x14ac:dyDescent="0.25">
      <c r="A25" t="s">
        <v>6</v>
      </c>
      <c r="B25" t="s">
        <v>31</v>
      </c>
      <c r="C25" t="s">
        <v>63</v>
      </c>
      <c r="D25" t="s">
        <v>85</v>
      </c>
    </row>
    <row r="26" spans="1:4" x14ac:dyDescent="0.25">
      <c r="A26" t="s">
        <v>6</v>
      </c>
      <c r="B26" t="s">
        <v>32</v>
      </c>
      <c r="C26" t="s">
        <v>64</v>
      </c>
      <c r="D26" t="s">
        <v>86</v>
      </c>
    </row>
    <row r="27" spans="1:4" x14ac:dyDescent="0.25">
      <c r="A27" t="s">
        <v>6</v>
      </c>
      <c r="B27" t="s">
        <v>33</v>
      </c>
      <c r="C27" t="s">
        <v>65</v>
      </c>
      <c r="D27" t="s">
        <v>87</v>
      </c>
    </row>
    <row r="28" spans="1:4" x14ac:dyDescent="0.25">
      <c r="A28" t="s">
        <v>6</v>
      </c>
      <c r="B28" t="s">
        <v>34</v>
      </c>
      <c r="C28" t="s">
        <v>66</v>
      </c>
      <c r="D28" t="s">
        <v>88</v>
      </c>
    </row>
    <row r="29" spans="1:4" x14ac:dyDescent="0.25">
      <c r="A29" t="s">
        <v>6</v>
      </c>
      <c r="B29" t="s">
        <v>35</v>
      </c>
      <c r="C29" t="s">
        <v>67</v>
      </c>
      <c r="D29" t="s">
        <v>73</v>
      </c>
    </row>
    <row r="30" spans="1:4" x14ac:dyDescent="0.25">
      <c r="A30" t="s">
        <v>7</v>
      </c>
      <c r="B30" t="s">
        <v>36</v>
      </c>
      <c r="C30" t="s">
        <v>68</v>
      </c>
      <c r="D30" t="s">
        <v>89</v>
      </c>
    </row>
    <row r="31" spans="1:4" x14ac:dyDescent="0.25">
      <c r="A31" t="s">
        <v>7</v>
      </c>
      <c r="B31" t="s">
        <v>37</v>
      </c>
      <c r="C31" t="s">
        <v>69</v>
      </c>
      <c r="D31" t="s">
        <v>90</v>
      </c>
    </row>
    <row r="32" spans="1:4" x14ac:dyDescent="0.25">
      <c r="A32" t="s">
        <v>7</v>
      </c>
      <c r="B32" t="s">
        <v>38</v>
      </c>
      <c r="C32" t="s">
        <v>70</v>
      </c>
      <c r="D32" t="s">
        <v>91</v>
      </c>
    </row>
    <row r="33" spans="1:4" x14ac:dyDescent="0.25">
      <c r="A33" t="s">
        <v>7</v>
      </c>
      <c r="B33" t="s">
        <v>39</v>
      </c>
      <c r="C33" t="s">
        <v>71</v>
      </c>
      <c r="D33" t="s">
        <v>92</v>
      </c>
    </row>
  </sheetData>
  <autoFilter ref="A1:D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73D8-ED9C-44E3-92B9-F32FD52E42F3}">
  <dimension ref="A1:D19"/>
  <sheetViews>
    <sheetView tabSelected="1" workbookViewId="0">
      <selection activeCell="D20" sqref="D20"/>
    </sheetView>
  </sheetViews>
  <sheetFormatPr defaultRowHeight="15" x14ac:dyDescent="0.25"/>
  <cols>
    <col min="1" max="1" width="35" bestFit="1" customWidth="1"/>
    <col min="2" max="2" width="30.28515625" bestFit="1" customWidth="1"/>
    <col min="3" max="3" width="33.5703125" bestFit="1" customWidth="1"/>
    <col min="4" max="4" width="28.7109375" bestFit="1" customWidth="1"/>
  </cols>
  <sheetData>
    <row r="1" spans="1:4" x14ac:dyDescent="0.25">
      <c r="A1" s="1" t="s">
        <v>1</v>
      </c>
      <c r="B1" s="1" t="s">
        <v>93</v>
      </c>
      <c r="C1" s="1" t="s">
        <v>3</v>
      </c>
      <c r="D1" s="1" t="s">
        <v>94</v>
      </c>
    </row>
    <row r="2" spans="1:4" x14ac:dyDescent="0.25">
      <c r="A2" t="s">
        <v>95</v>
      </c>
      <c r="B2">
        <v>25</v>
      </c>
      <c r="C2" t="s">
        <v>96</v>
      </c>
      <c r="D2">
        <v>0</v>
      </c>
    </row>
    <row r="3" spans="1:4" x14ac:dyDescent="0.25">
      <c r="A3" t="s">
        <v>97</v>
      </c>
      <c r="B3">
        <v>30</v>
      </c>
      <c r="C3" t="s">
        <v>73</v>
      </c>
      <c r="D3">
        <v>0</v>
      </c>
    </row>
    <row r="4" spans="1:4" x14ac:dyDescent="0.25">
      <c r="A4" t="s">
        <v>98</v>
      </c>
      <c r="B4">
        <v>15</v>
      </c>
      <c r="C4" t="s">
        <v>99</v>
      </c>
      <c r="D4">
        <v>15</v>
      </c>
    </row>
    <row r="5" spans="1:4" x14ac:dyDescent="0.25">
      <c r="A5" t="s">
        <v>100</v>
      </c>
      <c r="B5">
        <v>35</v>
      </c>
      <c r="C5" t="s">
        <v>101</v>
      </c>
      <c r="D5">
        <v>0</v>
      </c>
    </row>
    <row r="6" spans="1:4" x14ac:dyDescent="0.25">
      <c r="A6" t="s">
        <v>102</v>
      </c>
      <c r="B6">
        <v>40</v>
      </c>
      <c r="C6" t="s">
        <v>103</v>
      </c>
      <c r="D6">
        <v>0</v>
      </c>
    </row>
    <row r="7" spans="1:4" x14ac:dyDescent="0.25">
      <c r="A7" t="s">
        <v>104</v>
      </c>
      <c r="B7">
        <v>-20</v>
      </c>
      <c r="C7" t="s">
        <v>76</v>
      </c>
      <c r="D7">
        <v>-20</v>
      </c>
    </row>
    <row r="8" spans="1:4" x14ac:dyDescent="0.25">
      <c r="A8" t="s">
        <v>105</v>
      </c>
      <c r="B8">
        <v>-25</v>
      </c>
      <c r="C8" t="s">
        <v>77</v>
      </c>
      <c r="D8">
        <v>-25</v>
      </c>
    </row>
    <row r="9" spans="1:4" x14ac:dyDescent="0.25">
      <c r="A9" t="s">
        <v>25</v>
      </c>
      <c r="B9">
        <v>10</v>
      </c>
      <c r="C9" t="s">
        <v>106</v>
      </c>
      <c r="D9">
        <v>10</v>
      </c>
    </row>
    <row r="10" spans="1:4" x14ac:dyDescent="0.25">
      <c r="A10" t="s">
        <v>107</v>
      </c>
      <c r="B10">
        <v>5</v>
      </c>
      <c r="C10" t="s">
        <v>108</v>
      </c>
      <c r="D10">
        <v>5</v>
      </c>
    </row>
    <row r="11" spans="1:4" x14ac:dyDescent="0.25">
      <c r="A11" t="s">
        <v>19</v>
      </c>
      <c r="B11">
        <v>20</v>
      </c>
      <c r="C11" t="s">
        <v>80</v>
      </c>
      <c r="D11">
        <v>0</v>
      </c>
    </row>
    <row r="12" spans="1:4" x14ac:dyDescent="0.25">
      <c r="A12" t="s">
        <v>109</v>
      </c>
      <c r="B12">
        <v>10</v>
      </c>
      <c r="C12" t="s">
        <v>79</v>
      </c>
      <c r="D12">
        <v>0</v>
      </c>
    </row>
    <row r="13" spans="1:4" x14ac:dyDescent="0.25">
      <c r="A13" t="s">
        <v>110</v>
      </c>
      <c r="B13">
        <v>15</v>
      </c>
      <c r="C13" t="s">
        <v>73</v>
      </c>
      <c r="D13">
        <v>0</v>
      </c>
    </row>
    <row r="14" spans="1:4" x14ac:dyDescent="0.25">
      <c r="A14" t="s">
        <v>111</v>
      </c>
      <c r="B14">
        <v>20</v>
      </c>
      <c r="C14" t="s">
        <v>73</v>
      </c>
      <c r="D14">
        <v>0</v>
      </c>
    </row>
    <row r="15" spans="1:4" x14ac:dyDescent="0.25">
      <c r="A15" t="s">
        <v>112</v>
      </c>
      <c r="B15">
        <v>30</v>
      </c>
      <c r="C15" t="s">
        <v>113</v>
      </c>
      <c r="D15">
        <v>0</v>
      </c>
    </row>
    <row r="16" spans="1:4" x14ac:dyDescent="0.25">
      <c r="A16" t="s">
        <v>23</v>
      </c>
      <c r="B16">
        <v>25</v>
      </c>
      <c r="C16" t="s">
        <v>81</v>
      </c>
      <c r="D16">
        <v>0</v>
      </c>
    </row>
    <row r="17" spans="1:4" x14ac:dyDescent="0.25">
      <c r="A17" t="s">
        <v>114</v>
      </c>
      <c r="B17">
        <v>-20</v>
      </c>
      <c r="C17" t="s">
        <v>82</v>
      </c>
      <c r="D17">
        <v>-20</v>
      </c>
    </row>
    <row r="18" spans="1:4" x14ac:dyDescent="0.25">
      <c r="A18" t="s">
        <v>115</v>
      </c>
      <c r="B18">
        <v>10</v>
      </c>
      <c r="C18" t="s">
        <v>84</v>
      </c>
      <c r="D18">
        <v>0</v>
      </c>
    </row>
    <row r="19" spans="1:4" x14ac:dyDescent="0.25">
      <c r="D19">
        <f>SUM(D2:D18)</f>
        <v>-35</v>
      </c>
    </row>
  </sheetData>
  <autoFilter ref="A1:D1" xr:uid="{2E9473D8-ED9C-44E3-92B9-F32FD52E42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Gary Yu</cp:lastModifiedBy>
  <dcterms:created xsi:type="dcterms:W3CDTF">2025-02-05T01:00:42Z</dcterms:created>
  <dcterms:modified xsi:type="dcterms:W3CDTF">2025-02-05T01:52:24Z</dcterms:modified>
</cp:coreProperties>
</file>